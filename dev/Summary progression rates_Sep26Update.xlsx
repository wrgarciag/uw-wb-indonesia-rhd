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y/Desktop/RHD modelling/"/>
    </mc:Choice>
  </mc:AlternateContent>
  <xr:revisionPtr revIDLastSave="0" documentId="13_ncr:1_{D9A0B9BB-AA62-0147-9017-626679B4B886}" xr6:coauthVersionLast="47" xr6:coauthVersionMax="47" xr10:uidLastSave="{00000000-0000-0000-0000-000000000000}"/>
  <bookViews>
    <workbookView xWindow="0" yWindow="500" windowWidth="26820" windowHeight="16500" xr2:uid="{0E88C6B0-4014-D343-BE73-0B35AE50A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B30" i="1"/>
  <c r="Y35" i="1"/>
  <c r="X33" i="1"/>
  <c r="B37" i="1"/>
  <c r="U36" i="1"/>
  <c r="U35" i="1"/>
  <c r="U31" i="1"/>
  <c r="U37" i="1"/>
  <c r="U26" i="1"/>
  <c r="H26" i="1"/>
  <c r="G26" i="1"/>
  <c r="L25" i="1"/>
  <c r="S25" i="1"/>
  <c r="V25" i="1"/>
  <c r="Y25" i="1"/>
  <c r="L26" i="1"/>
  <c r="N26" i="1"/>
  <c r="O26" i="1"/>
  <c r="P26" i="1"/>
  <c r="R26" i="1"/>
  <c r="S26" i="1"/>
  <c r="T26" i="1"/>
  <c r="V26" i="1"/>
  <c r="W26" i="1"/>
  <c r="Y26" i="1"/>
  <c r="N27" i="1"/>
  <c r="S27" i="1"/>
  <c r="T27" i="1"/>
  <c r="X27" i="1"/>
  <c r="Y27" i="1"/>
  <c r="N28" i="1"/>
  <c r="X28" i="1"/>
  <c r="X29" i="1"/>
  <c r="M31" i="1"/>
  <c r="N34" i="1"/>
  <c r="X34" i="1"/>
  <c r="L35" i="1"/>
  <c r="N35" i="1"/>
  <c r="O35" i="1"/>
  <c r="P35" i="1"/>
  <c r="S35" i="1"/>
  <c r="T35" i="1"/>
  <c r="V35" i="1"/>
  <c r="W35" i="1"/>
  <c r="L36" i="1"/>
  <c r="N36" i="1"/>
  <c r="O36" i="1"/>
  <c r="P36" i="1"/>
  <c r="S36" i="1"/>
  <c r="T36" i="1"/>
  <c r="V36" i="1"/>
  <c r="Y36" i="1"/>
  <c r="L37" i="1"/>
  <c r="M37" i="1"/>
  <c r="K30" i="1"/>
  <c r="K37" i="1"/>
  <c r="K25" i="1"/>
  <c r="J26" i="1"/>
  <c r="J27" i="1"/>
  <c r="J31" i="1"/>
  <c r="J37" i="1"/>
  <c r="I37" i="1"/>
  <c r="D28" i="1"/>
  <c r="D27" i="1"/>
  <c r="I31" i="1"/>
  <c r="I27" i="1"/>
  <c r="H35" i="1"/>
  <c r="I26" i="1"/>
  <c r="H36" i="1"/>
  <c r="G36" i="1"/>
  <c r="E37" i="1"/>
  <c r="D34" i="1"/>
  <c r="D33" i="1"/>
  <c r="D29" i="1"/>
</calcChain>
</file>

<file path=xl/sharedStrings.xml><?xml version="1.0" encoding="utf-8"?>
<sst xmlns="http://schemas.openxmlformats.org/spreadsheetml/2006/main" count="118" uniqueCount="66">
  <si>
    <t>Normal to A</t>
  </si>
  <si>
    <t>Stage A to B</t>
  </si>
  <si>
    <t>Stage B to C</t>
  </si>
  <si>
    <t>Stage C to D</t>
  </si>
  <si>
    <t>D to surgery</t>
  </si>
  <si>
    <t>Stage D to C</t>
  </si>
  <si>
    <t>Stage C to B</t>
  </si>
  <si>
    <t>Stage B to A</t>
  </si>
  <si>
    <t>Stage A to Normal</t>
  </si>
  <si>
    <t>A/B to C/D</t>
  </si>
  <si>
    <t>24*</t>
  </si>
  <si>
    <t>24**</t>
  </si>
  <si>
    <t>Regression latent dx overall (A/B regress)</t>
  </si>
  <si>
    <t>Regression</t>
  </si>
  <si>
    <t>Progression</t>
  </si>
  <si>
    <t>A/B to B/C</t>
  </si>
  <si>
    <t>Followup period (months)</t>
  </si>
  <si>
    <t>44 - 90</t>
  </si>
  <si>
    <t>60^</t>
  </si>
  <si>
    <t>120^</t>
  </si>
  <si>
    <t>Followup period (range, months)</t>
  </si>
  <si>
    <t>&lt;12</t>
  </si>
  <si>
    <t>12 - 23</t>
  </si>
  <si>
    <t>24 - 35</t>
  </si>
  <si>
    <t>36 - 47</t>
  </si>
  <si>
    <t>60</t>
  </si>
  <si>
    <t>&gt; 120</t>
  </si>
  <si>
    <t xml:space="preserve"> 90</t>
  </si>
  <si>
    <t>0.003 - 0.171</t>
  </si>
  <si>
    <t>0.025-0.26</t>
  </si>
  <si>
    <t>0.0452 - 0.364</t>
  </si>
  <si>
    <t>0.42 - 0.506</t>
  </si>
  <si>
    <t>0.28 - 0.489</t>
  </si>
  <si>
    <t>48</t>
  </si>
  <si>
    <t>0.190 - 0.246</t>
  </si>
  <si>
    <t>0.014 - 0.3</t>
  </si>
  <si>
    <t>0.120 - 0.318</t>
  </si>
  <si>
    <t>0.4 - 0.588</t>
  </si>
  <si>
    <t>* GOAL control arm</t>
  </si>
  <si>
    <t>Table 1: original values from literature</t>
  </si>
  <si>
    <t>Followup period (months of follow up as reported in literature)</t>
  </si>
  <si>
    <t>Followup period (years)</t>
  </si>
  <si>
    <t>Formula</t>
  </si>
  <si>
    <t>1-(1-rate)^(1/year(s))</t>
  </si>
  <si>
    <t>0.054-0.057</t>
  </si>
  <si>
    <t>0.002 - 0.072</t>
  </si>
  <si>
    <t>0.045 - 0.047</t>
  </si>
  <si>
    <t>0.003 - 0.206</t>
  </si>
  <si>
    <t>0.013 - 0.125</t>
  </si>
  <si>
    <t>0.004 - 0.069</t>
  </si>
  <si>
    <t>0.025 - 0.200</t>
  </si>
  <si>
    <t>0.097 - 0.588</t>
  </si>
  <si>
    <t>Table 3: Ranges raw data</t>
  </si>
  <si>
    <t>0.008- 0.149</t>
  </si>
  <si>
    <t>0.0452-0.364</t>
  </si>
  <si>
    <t>0.42-0.506</t>
  </si>
  <si>
    <t>0.28-0.489</t>
  </si>
  <si>
    <t>0.113 - 0.164</t>
  </si>
  <si>
    <t>0.391 - 0.480</t>
  </si>
  <si>
    <t>** GOAL Trial arm - perfect SAP adherence</t>
  </si>
  <si>
    <t>Range TPS, annualized follow up data</t>
  </si>
  <si>
    <t>`</t>
  </si>
  <si>
    <t>Table 2: ALL Annualized from above</t>
  </si>
  <si>
    <t>^Annualized already from study</t>
  </si>
  <si>
    <t>#This is from studies where controls were used and followed up</t>
  </si>
  <si>
    <t>Normal to A#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</si>
</sst>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49" fontId="1" fillId="0" borderId="1" xfId="0" applyNumberFormat="1" applyFont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Fill="1" applyBorder="1"/>
    <xf numFmtId="0" fontId="2" fillId="0" borderId="1" xfId="0" applyFont="1" applyFill="1" applyBorder="1"/>
    <xf numFmtId="0" fontId="3" fillId="2" borderId="1" xfId="0" applyFont="1" applyFill="1" applyBorder="1"/>
    <xf numFmtId="0" fontId="0" fillId="2" borderId="1" xfId="0" applyFill="1" applyBorder="1"/>
    <xf numFmtId="0" fontId="1" fillId="0" borderId="1" xfId="0" applyFont="1" applyFill="1" applyBorder="1"/>
    <xf numFmtId="0" fontId="2" fillId="2" borderId="1" xfId="0" applyFont="1" applyFill="1" applyBorder="1"/>
    <xf numFmtId="0" fontId="1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/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/>
    <xf numFmtId="0" fontId="3" fillId="3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164" fontId="0" fillId="0" borderId="1" xfId="0" applyNumberFormat="1" applyFill="1" applyBorder="1"/>
    <xf numFmtId="164" fontId="2" fillId="0" borderId="1" xfId="0" applyNumberFormat="1" applyFont="1" applyFill="1" applyBorder="1"/>
    <xf numFmtId="164" fontId="2" fillId="3" borderId="1" xfId="0" applyNumberFormat="1" applyFont="1" applyFill="1" applyBorder="1"/>
    <xf numFmtId="0" fontId="2" fillId="0" borderId="1" xfId="0" applyFont="1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right"/>
    </xf>
    <xf numFmtId="0" fontId="1" fillId="0" borderId="0" xfId="0" applyFont="1"/>
    <xf numFmtId="0" fontId="3" fillId="0" borderId="1" xfId="0" applyFont="1" applyFill="1" applyBorder="1"/>
    <xf numFmtId="0" fontId="4" fillId="0" borderId="0" xfId="0" applyFont="1"/>
    <xf numFmtId="0" fontId="2" fillId="0" borderId="0" xfId="0" applyFont="1"/>
    <xf numFmtId="0" fontId="3" fillId="0" borderId="0" xfId="0" applyFont="1" applyFill="1" applyBorder="1"/>
    <xf numFmtId="0" fontId="2" fillId="0" borderId="0" xfId="0" applyFont="1" applyBorder="1" applyAlignment="1">
      <alignment horizontal="right"/>
    </xf>
    <xf numFmtId="49" fontId="2" fillId="0" borderId="0" xfId="0" applyNumberFormat="1" applyFont="1" applyFill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7570-D4E5-044B-BDFC-352ADA20A554}">
  <dimension ref="A1:Z81"/>
  <sheetViews>
    <sheetView tabSelected="1" zoomScale="90" zoomScaleNormal="90" workbookViewId="0">
      <pane xSplit="1" topLeftCell="B1" activePane="topRight" state="frozen"/>
      <selection pane="topRight" activeCell="A19" sqref="A19"/>
    </sheetView>
  </sheetViews>
  <sheetFormatPr baseColWidth="10" defaultRowHeight="16" x14ac:dyDescent="0.2"/>
  <cols>
    <col min="1" max="1" width="37" customWidth="1"/>
    <col min="3" max="3" width="10.83203125" style="33"/>
    <col min="4" max="4" width="15" style="33" customWidth="1"/>
    <col min="5" max="5" width="13.1640625" style="33" customWidth="1"/>
    <col min="6" max="6" width="10.83203125" style="33"/>
    <col min="7" max="7" width="15.33203125" style="33" customWidth="1"/>
    <col min="8" max="10" width="10.83203125" style="33"/>
    <col min="11" max="11" width="18.1640625" style="33" customWidth="1"/>
    <col min="12" max="12" width="10.83203125" style="33"/>
    <col min="13" max="14" width="8" style="33" customWidth="1"/>
    <col min="15" max="15" width="7.6640625" style="33" customWidth="1"/>
    <col min="16" max="20" width="10.83203125" style="15"/>
    <col min="21" max="21" width="10.83203125" style="3"/>
    <col min="22" max="24" width="10.83203125" style="33"/>
  </cols>
  <sheetData>
    <row r="1" spans="1:26" x14ac:dyDescent="0.2">
      <c r="A1" t="s">
        <v>39</v>
      </c>
      <c r="C1" s="3"/>
      <c r="D1" s="3"/>
      <c r="E1" s="3"/>
      <c r="F1" s="3"/>
      <c r="G1" s="3"/>
      <c r="H1" s="3"/>
      <c r="I1" s="3"/>
      <c r="J1" s="3"/>
    </row>
    <row r="2" spans="1:26" s="1" customFormat="1" x14ac:dyDescent="0.2">
      <c r="A2" s="11" t="s">
        <v>41</v>
      </c>
      <c r="B2" s="11">
        <v>0.5</v>
      </c>
      <c r="C2" s="31">
        <v>1</v>
      </c>
      <c r="D2" s="31">
        <v>1</v>
      </c>
      <c r="E2" s="31">
        <v>1.25</v>
      </c>
      <c r="F2" s="31">
        <v>1.5</v>
      </c>
      <c r="G2" s="31">
        <v>1.9</v>
      </c>
      <c r="H2" s="31">
        <v>2</v>
      </c>
      <c r="I2" s="31">
        <v>2</v>
      </c>
      <c r="J2" s="31">
        <v>2</v>
      </c>
      <c r="K2" s="31">
        <v>2</v>
      </c>
      <c r="L2" s="31">
        <v>2.1</v>
      </c>
      <c r="M2" s="31">
        <v>2.25</v>
      </c>
      <c r="N2" s="31">
        <v>2.25</v>
      </c>
      <c r="O2" s="31">
        <v>2.5</v>
      </c>
      <c r="P2" s="31">
        <v>3</v>
      </c>
      <c r="Q2" s="31">
        <v>3.5</v>
      </c>
      <c r="R2" s="31">
        <v>3.7</v>
      </c>
      <c r="S2" s="31">
        <v>67</v>
      </c>
      <c r="T2" s="31">
        <v>5.6</v>
      </c>
      <c r="U2" s="31">
        <v>5</v>
      </c>
      <c r="V2" s="31">
        <v>5</v>
      </c>
      <c r="W2" s="31">
        <v>5</v>
      </c>
      <c r="X2" s="31">
        <v>5</v>
      </c>
      <c r="Y2" s="11">
        <v>7.5</v>
      </c>
      <c r="Z2" s="11">
        <v>10</v>
      </c>
    </row>
    <row r="3" spans="1:26" s="1" customFormat="1" x14ac:dyDescent="0.2">
      <c r="A3" s="11" t="s">
        <v>40</v>
      </c>
      <c r="B3" s="11">
        <v>6</v>
      </c>
      <c r="C3" s="31">
        <v>12</v>
      </c>
      <c r="D3" s="31">
        <v>12</v>
      </c>
      <c r="E3" s="31">
        <v>15</v>
      </c>
      <c r="F3" s="31">
        <v>18</v>
      </c>
      <c r="G3" s="31">
        <v>23</v>
      </c>
      <c r="H3" s="31">
        <v>24</v>
      </c>
      <c r="I3" s="31">
        <v>24</v>
      </c>
      <c r="J3" s="31">
        <v>24</v>
      </c>
      <c r="K3" s="31">
        <v>24</v>
      </c>
      <c r="L3" s="31">
        <v>25</v>
      </c>
      <c r="M3" s="31">
        <v>27</v>
      </c>
      <c r="N3" s="31">
        <v>27</v>
      </c>
      <c r="O3" s="31">
        <v>30</v>
      </c>
      <c r="P3" s="31">
        <v>36</v>
      </c>
      <c r="Q3" s="31">
        <v>42</v>
      </c>
      <c r="R3" s="31">
        <v>44</v>
      </c>
      <c r="S3" s="31" t="s">
        <v>17</v>
      </c>
      <c r="T3" s="31">
        <v>48</v>
      </c>
      <c r="U3" s="31" t="s">
        <v>18</v>
      </c>
      <c r="V3" s="31">
        <v>60</v>
      </c>
      <c r="W3" s="31">
        <v>60</v>
      </c>
      <c r="X3" s="31">
        <v>60</v>
      </c>
      <c r="Y3" s="11">
        <v>90</v>
      </c>
      <c r="Z3" s="11" t="s">
        <v>19</v>
      </c>
    </row>
    <row r="4" spans="1:26" s="2" customFormat="1" x14ac:dyDescent="0.2">
      <c r="A4" s="5" t="s">
        <v>14</v>
      </c>
      <c r="B4" s="10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0"/>
      <c r="Z4" s="10"/>
    </row>
    <row r="5" spans="1:26" s="2" customFormat="1" x14ac:dyDescent="0.2">
      <c r="A5" s="7" t="s">
        <v>65</v>
      </c>
      <c r="B5" s="7"/>
      <c r="C5" s="8"/>
      <c r="D5" s="8"/>
      <c r="E5" s="8"/>
      <c r="F5" s="8"/>
      <c r="G5" s="8"/>
      <c r="H5" s="8"/>
      <c r="I5" s="8"/>
      <c r="J5" s="8"/>
      <c r="K5" s="8">
        <v>0.11</v>
      </c>
      <c r="L5" s="8">
        <v>0.11</v>
      </c>
      <c r="M5" s="8"/>
      <c r="N5" s="8"/>
      <c r="O5" s="8"/>
      <c r="P5" s="8"/>
      <c r="Q5" s="8"/>
      <c r="R5" s="8"/>
      <c r="S5" s="8">
        <v>8.6999999999999994E-2</v>
      </c>
      <c r="T5" s="8">
        <v>8.7999999999999995E-2</v>
      </c>
      <c r="U5" s="8"/>
      <c r="V5" s="8">
        <v>0.03</v>
      </c>
      <c r="W5" s="8"/>
      <c r="X5" s="8"/>
      <c r="Y5" s="7">
        <v>7.0000000000000007E-2</v>
      </c>
      <c r="Z5" s="7"/>
    </row>
    <row r="6" spans="1:26" s="2" customFormat="1" x14ac:dyDescent="0.2">
      <c r="A6" s="7" t="s">
        <v>1</v>
      </c>
      <c r="B6" s="7"/>
      <c r="C6" s="8"/>
      <c r="D6" s="8"/>
      <c r="E6" s="8"/>
      <c r="F6" s="8"/>
      <c r="G6" s="8">
        <v>0.08</v>
      </c>
      <c r="H6" s="8">
        <v>2.5999999999999999E-2</v>
      </c>
      <c r="I6" s="8">
        <v>7.4999999999999997E-2</v>
      </c>
      <c r="J6" s="8">
        <v>3.0000000000000001E-3</v>
      </c>
      <c r="K6" s="8"/>
      <c r="L6" s="8">
        <v>0.1</v>
      </c>
      <c r="M6" s="8"/>
      <c r="N6" s="8">
        <v>9.8000000000000004E-2</v>
      </c>
      <c r="O6" s="8">
        <v>0.17100000000000001</v>
      </c>
      <c r="P6" s="8">
        <v>0.13</v>
      </c>
      <c r="Q6" s="8"/>
      <c r="R6" s="8">
        <v>0.16400000000000001</v>
      </c>
      <c r="S6" s="8">
        <v>0.113</v>
      </c>
      <c r="T6" s="8">
        <v>0.23100000000000001</v>
      </c>
      <c r="U6" s="8">
        <v>0.20599999999999999</v>
      </c>
      <c r="V6" s="8">
        <v>0.3</v>
      </c>
      <c r="W6" s="8">
        <v>1.4E-2</v>
      </c>
      <c r="X6" s="8"/>
      <c r="Y6" s="7">
        <v>0.23499999999999999</v>
      </c>
      <c r="Z6" s="7"/>
    </row>
    <row r="7" spans="1:26" s="3" customFormat="1" x14ac:dyDescent="0.2">
      <c r="A7" s="8" t="s">
        <v>2</v>
      </c>
      <c r="B7" s="8"/>
      <c r="C7" s="8"/>
      <c r="D7" s="8">
        <v>4.7E-2</v>
      </c>
      <c r="E7" s="8"/>
      <c r="F7" s="8"/>
      <c r="G7" s="8"/>
      <c r="H7" s="8"/>
      <c r="I7" s="8">
        <v>0.11899999999999999</v>
      </c>
      <c r="J7" s="8">
        <v>2.5000000000000001E-2</v>
      </c>
      <c r="K7" s="8"/>
      <c r="L7" s="8"/>
      <c r="M7" s="8"/>
      <c r="N7" s="8">
        <v>0.26</v>
      </c>
      <c r="O7" s="8"/>
      <c r="P7" s="8"/>
      <c r="Q7" s="8"/>
      <c r="R7" s="8"/>
      <c r="S7" s="8">
        <v>7.4999999999999997E-2</v>
      </c>
      <c r="T7" s="8">
        <v>0.17399999999999999</v>
      </c>
      <c r="U7" s="8"/>
      <c r="V7" s="8"/>
      <c r="W7" s="8"/>
      <c r="X7" s="8">
        <v>3.6999999999999998E-2</v>
      </c>
      <c r="Y7" s="8">
        <v>0.2</v>
      </c>
      <c r="Z7" s="8">
        <v>0.02</v>
      </c>
    </row>
    <row r="8" spans="1:26" s="3" customFormat="1" x14ac:dyDescent="0.2">
      <c r="A8" s="8" t="s">
        <v>3</v>
      </c>
      <c r="B8" s="8"/>
      <c r="C8" s="8"/>
      <c r="D8" s="8">
        <v>5.0999999999999997E-2</v>
      </c>
      <c r="E8" s="8"/>
      <c r="F8" s="8"/>
      <c r="G8" s="8"/>
      <c r="H8" s="8"/>
      <c r="I8" s="8"/>
      <c r="J8" s="8"/>
      <c r="K8" s="8"/>
      <c r="L8" s="8"/>
      <c r="M8" s="8"/>
      <c r="N8" s="8">
        <v>0.47599999999999998</v>
      </c>
      <c r="O8" s="8"/>
      <c r="P8" s="8"/>
      <c r="Q8" s="8"/>
      <c r="R8" s="8"/>
      <c r="S8" s="8"/>
      <c r="T8" s="8"/>
      <c r="U8" s="8"/>
      <c r="V8" s="8"/>
      <c r="W8" s="8"/>
      <c r="X8" s="8">
        <v>2.8000000000000001E-2</v>
      </c>
      <c r="Y8" s="8"/>
      <c r="Z8" s="8">
        <v>0.01</v>
      </c>
    </row>
    <row r="9" spans="1:26" s="3" customFormat="1" x14ac:dyDescent="0.2">
      <c r="A9" s="8" t="s">
        <v>4</v>
      </c>
      <c r="B9" s="8"/>
      <c r="C9" s="8"/>
      <c r="D9" s="8">
        <v>0.41599999999999998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>
        <v>0.16600000000000001</v>
      </c>
      <c r="Y9" s="8"/>
      <c r="Z9" s="8">
        <v>0.09</v>
      </c>
    </row>
    <row r="10" spans="1:26" s="3" customFormat="1" x14ac:dyDescent="0.2">
      <c r="A10" s="8" t="s">
        <v>15</v>
      </c>
      <c r="B10" s="8">
        <v>8.8999999999999996E-2</v>
      </c>
      <c r="C10" s="8"/>
      <c r="D10" s="8"/>
      <c r="E10" s="8"/>
      <c r="F10" s="8"/>
      <c r="G10" s="8"/>
      <c r="H10" s="8"/>
      <c r="I10" s="8"/>
      <c r="J10" s="8"/>
      <c r="K10" s="8">
        <v>0.04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s="3" customFormat="1" x14ac:dyDescent="0.2">
      <c r="A11" s="8" t="s">
        <v>9</v>
      </c>
      <c r="B11" s="8"/>
      <c r="C11" s="8">
        <v>0.14899999999999999</v>
      </c>
      <c r="D11" s="8"/>
      <c r="E11" s="8"/>
      <c r="F11" s="8"/>
      <c r="G11" s="8"/>
      <c r="H11" s="8"/>
      <c r="I11" s="8">
        <v>8.2000000000000003E-2</v>
      </c>
      <c r="J11" s="8">
        <v>8.0000000000000002E-3</v>
      </c>
      <c r="K11" s="8"/>
      <c r="L11" s="8"/>
      <c r="M11" s="8">
        <v>0.14899999999999999</v>
      </c>
      <c r="N11" s="8"/>
      <c r="O11" s="8"/>
      <c r="P11" s="8"/>
      <c r="Q11" s="8"/>
      <c r="R11" s="8"/>
      <c r="S11" s="8"/>
      <c r="T11" s="8"/>
      <c r="U11" s="8">
        <v>0.2</v>
      </c>
      <c r="V11" s="8"/>
      <c r="W11" s="8"/>
      <c r="X11" s="8"/>
      <c r="Y11" s="8"/>
      <c r="Z11" s="8"/>
    </row>
    <row r="12" spans="1:26" s="3" customFormat="1" x14ac:dyDescent="0.2">
      <c r="A12" s="9" t="s">
        <v>13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s="3" customFormat="1" x14ac:dyDescent="0.2">
      <c r="A13" s="8" t="s">
        <v>5</v>
      </c>
      <c r="B13" s="8"/>
      <c r="C13" s="8"/>
      <c r="D13" s="8">
        <v>7.0999999999999994E-2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>
        <v>2.1000000000000001E-2</v>
      </c>
      <c r="Y13" s="8"/>
      <c r="Z13" s="8">
        <v>7.0000000000000001E-3</v>
      </c>
    </row>
    <row r="14" spans="1:26" s="3" customFormat="1" x14ac:dyDescent="0.2">
      <c r="A14" s="8" t="s">
        <v>6</v>
      </c>
      <c r="B14" s="8"/>
      <c r="C14" s="8"/>
      <c r="D14" s="8">
        <v>8.1000000000000003E-2</v>
      </c>
      <c r="E14" s="8"/>
      <c r="F14" s="8"/>
      <c r="G14" s="8"/>
      <c r="H14" s="8"/>
      <c r="I14" s="8"/>
      <c r="J14" s="8"/>
      <c r="K14" s="8"/>
      <c r="L14" s="8"/>
      <c r="M14" s="8"/>
      <c r="N14" s="8">
        <v>9.5000000000000001E-2</v>
      </c>
      <c r="O14" s="8"/>
      <c r="P14" s="8"/>
      <c r="Q14" s="8"/>
      <c r="R14" s="8"/>
      <c r="S14" s="8"/>
      <c r="T14" s="8"/>
      <c r="U14" s="8"/>
      <c r="V14" s="8"/>
      <c r="W14" s="8"/>
      <c r="X14" s="8">
        <v>5.8000000000000003E-2</v>
      </c>
      <c r="Y14" s="8"/>
      <c r="Z14" s="8">
        <v>0.04</v>
      </c>
    </row>
    <row r="15" spans="1:26" s="2" customFormat="1" x14ac:dyDescent="0.2">
      <c r="A15" s="7" t="s">
        <v>7</v>
      </c>
      <c r="B15" s="7"/>
      <c r="C15" s="8"/>
      <c r="D15" s="8"/>
      <c r="E15" s="8"/>
      <c r="F15" s="8"/>
      <c r="G15" s="8"/>
      <c r="H15" s="8">
        <v>0.36399999999999999</v>
      </c>
      <c r="I15" s="8"/>
      <c r="J15" s="8"/>
      <c r="K15" s="8"/>
      <c r="L15" s="8">
        <v>0.25</v>
      </c>
      <c r="M15" s="8"/>
      <c r="N15" s="8">
        <v>4.5199999999999997E-2</v>
      </c>
      <c r="O15" s="8">
        <v>0.185</v>
      </c>
      <c r="P15" s="8">
        <v>0.19</v>
      </c>
      <c r="Q15" s="8"/>
      <c r="R15" s="8"/>
      <c r="S15" s="8">
        <v>0.246</v>
      </c>
      <c r="T15" s="8">
        <v>0.23899999999999999</v>
      </c>
      <c r="U15" s="8">
        <v>0.2</v>
      </c>
      <c r="V15" s="8">
        <v>0.12</v>
      </c>
      <c r="W15" s="8">
        <v>0.318</v>
      </c>
      <c r="X15" s="8"/>
      <c r="Y15" s="7">
        <v>0.2</v>
      </c>
      <c r="Z15" s="7"/>
    </row>
    <row r="16" spans="1:26" s="2" customFormat="1" x14ac:dyDescent="0.2">
      <c r="A16" s="7" t="s">
        <v>8</v>
      </c>
      <c r="B16" s="7"/>
      <c r="C16" s="8"/>
      <c r="D16" s="8"/>
      <c r="E16" s="8"/>
      <c r="F16" s="8"/>
      <c r="G16" s="8">
        <v>0.32</v>
      </c>
      <c r="H16" s="8">
        <v>0.436</v>
      </c>
      <c r="I16" s="8"/>
      <c r="J16" s="8"/>
      <c r="K16" s="8"/>
      <c r="L16" s="8">
        <v>0.42</v>
      </c>
      <c r="M16" s="8"/>
      <c r="N16" s="8">
        <v>0.46300000000000002</v>
      </c>
      <c r="O16" s="8">
        <v>0.50600000000000001</v>
      </c>
      <c r="P16" s="8">
        <v>0.48</v>
      </c>
      <c r="Q16" s="8"/>
      <c r="R16" s="8"/>
      <c r="S16" s="8">
        <v>0.39100000000000001</v>
      </c>
      <c r="T16" s="8">
        <v>0.38500000000000001</v>
      </c>
      <c r="U16" s="8">
        <v>0.58799999999999997</v>
      </c>
      <c r="V16" s="8">
        <v>0.4</v>
      </c>
      <c r="W16" s="8"/>
      <c r="X16" s="8"/>
      <c r="Y16" s="7">
        <v>0.12</v>
      </c>
      <c r="Z16" s="7"/>
    </row>
    <row r="17" spans="1:26" s="2" customFormat="1" x14ac:dyDescent="0.2">
      <c r="A17" s="7" t="s">
        <v>12</v>
      </c>
      <c r="B17" s="7">
        <v>0.32100000000000001</v>
      </c>
      <c r="C17" s="8"/>
      <c r="D17" s="8"/>
      <c r="E17" s="8">
        <v>0.33300000000000002</v>
      </c>
      <c r="F17" s="8"/>
      <c r="G17" s="8"/>
      <c r="H17" s="8"/>
      <c r="I17" s="8">
        <v>0.47799999999999998</v>
      </c>
      <c r="J17" s="8">
        <v>0.48899999999999999</v>
      </c>
      <c r="K17" s="8">
        <v>0.28000000000000003</v>
      </c>
      <c r="L17" s="8"/>
      <c r="M17" s="8">
        <v>0.432</v>
      </c>
      <c r="N17" s="8"/>
      <c r="O17" s="8"/>
      <c r="P17" s="8"/>
      <c r="Q17" s="8"/>
      <c r="R17" s="8"/>
      <c r="S17" s="8"/>
      <c r="T17" s="8"/>
      <c r="U17" s="8">
        <v>0.52300000000000002</v>
      </c>
      <c r="V17" s="8"/>
      <c r="W17" s="8"/>
      <c r="X17" s="8"/>
      <c r="Y17" s="7"/>
      <c r="Z17" s="7"/>
    </row>
    <row r="18" spans="1:26" s="2" customFormat="1" x14ac:dyDescent="0.2">
      <c r="A18" s="14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4"/>
      <c r="Z18" s="14"/>
    </row>
    <row r="19" spans="1:26" s="2" customFormat="1" x14ac:dyDescent="0.2">
      <c r="A19" t="s">
        <v>64</v>
      </c>
      <c r="B19" s="14"/>
      <c r="C19" s="15"/>
      <c r="D19" s="15"/>
      <c r="E19" s="15"/>
      <c r="F19" s="15"/>
      <c r="G19" s="15"/>
      <c r="H19" s="15"/>
      <c r="I19" s="15"/>
      <c r="J19" s="3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4"/>
      <c r="Z19" s="14"/>
    </row>
    <row r="20" spans="1:26" s="2" customFormat="1" x14ac:dyDescent="0.2">
      <c r="A20" s="14"/>
      <c r="B20" s="14"/>
      <c r="C20" s="15"/>
      <c r="D20" s="15"/>
      <c r="E20" s="15"/>
      <c r="F20" s="15"/>
      <c r="G20" s="15"/>
      <c r="H20" s="15"/>
      <c r="I20" s="15"/>
      <c r="J20" s="3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4"/>
      <c r="Z20" s="14"/>
    </row>
    <row r="21" spans="1:26" s="2" customFormat="1" x14ac:dyDescent="0.2">
      <c r="A21" s="14"/>
      <c r="B21" s="14"/>
      <c r="C21" s="15"/>
      <c r="D21" s="15"/>
      <c r="E21" s="15"/>
      <c r="F21" s="15"/>
      <c r="G21" s="15"/>
      <c r="H21" s="15"/>
      <c r="I21" s="15"/>
      <c r="J21" s="3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4"/>
      <c r="Z21" s="14"/>
    </row>
    <row r="22" spans="1:26" s="2" customFormat="1" x14ac:dyDescent="0.2">
      <c r="A22" s="13" t="s">
        <v>62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4"/>
      <c r="Z22" s="14"/>
    </row>
    <row r="23" spans="1:26" s="2" customFormat="1" x14ac:dyDescent="0.2">
      <c r="A23" s="11" t="s">
        <v>16</v>
      </c>
      <c r="B23" s="11">
        <v>6</v>
      </c>
      <c r="C23" s="31">
        <v>12</v>
      </c>
      <c r="D23" s="31">
        <v>12</v>
      </c>
      <c r="E23" s="31">
        <v>15</v>
      </c>
      <c r="F23" s="31">
        <v>18</v>
      </c>
      <c r="G23" s="31">
        <v>23</v>
      </c>
      <c r="H23" s="31">
        <v>24</v>
      </c>
      <c r="I23" s="31" t="s">
        <v>10</v>
      </c>
      <c r="J23" s="31" t="s">
        <v>11</v>
      </c>
      <c r="K23" s="31">
        <v>24</v>
      </c>
      <c r="L23" s="31">
        <v>25</v>
      </c>
      <c r="M23" s="31">
        <v>27</v>
      </c>
      <c r="N23" s="31">
        <v>27</v>
      </c>
      <c r="O23" s="31">
        <v>30</v>
      </c>
      <c r="P23" s="31">
        <v>36</v>
      </c>
      <c r="Q23" s="31">
        <v>42</v>
      </c>
      <c r="R23" s="31">
        <v>44</v>
      </c>
      <c r="S23" s="31">
        <v>67</v>
      </c>
      <c r="T23" s="31">
        <v>48</v>
      </c>
      <c r="U23" s="31" t="s">
        <v>18</v>
      </c>
      <c r="V23" s="31">
        <v>60</v>
      </c>
      <c r="W23" s="31">
        <v>60</v>
      </c>
      <c r="X23" s="31">
        <v>60</v>
      </c>
      <c r="Y23" s="11">
        <v>90</v>
      </c>
      <c r="Z23" s="11" t="s">
        <v>19</v>
      </c>
    </row>
    <row r="24" spans="1:26" s="2" customFormat="1" x14ac:dyDescent="0.2">
      <c r="A24" s="22" t="s">
        <v>14</v>
      </c>
      <c r="B24" s="23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3"/>
      <c r="Z24" s="23"/>
    </row>
    <row r="25" spans="1:26" s="2" customFormat="1" x14ac:dyDescent="0.2">
      <c r="A25" s="7" t="s">
        <v>0</v>
      </c>
      <c r="B25" s="24"/>
      <c r="C25" s="25"/>
      <c r="D25" s="25"/>
      <c r="E25" s="25"/>
      <c r="F25" s="25"/>
      <c r="G25" s="25"/>
      <c r="H25" s="25"/>
      <c r="I25" s="25"/>
      <c r="J25" s="25"/>
      <c r="K25" s="25">
        <f>1-(1-K5)^(1/K$2)</f>
        <v>5.660188679433964E-2</v>
      </c>
      <c r="L25" s="25">
        <f>1-(1-L5)^(1/L$2)</f>
        <v>5.3980685817445528E-2</v>
      </c>
      <c r="M25" s="25"/>
      <c r="N25" s="25"/>
      <c r="O25" s="25"/>
      <c r="P25" s="25"/>
      <c r="Q25" s="25"/>
      <c r="R25" s="25"/>
      <c r="S25" s="25">
        <f>1-(1-S5)^(1/S$2)</f>
        <v>1.3575761420395738E-3</v>
      </c>
      <c r="T25" s="25"/>
      <c r="U25" s="25"/>
      <c r="V25" s="25">
        <f>1-(1-V5)^(1/V$2)</f>
        <v>6.0733238517972632E-3</v>
      </c>
      <c r="W25" s="25"/>
      <c r="X25" s="25"/>
      <c r="Y25" s="25">
        <f>1-(1-Y5)^(1/Y$2)</f>
        <v>9.6294296217838138E-3</v>
      </c>
      <c r="Z25" s="25"/>
    </row>
    <row r="26" spans="1:26" s="2" customFormat="1" x14ac:dyDescent="0.2">
      <c r="A26" s="7" t="s">
        <v>1</v>
      </c>
      <c r="B26" s="24"/>
      <c r="C26" s="25"/>
      <c r="D26" s="25"/>
      <c r="E26" s="25"/>
      <c r="F26" s="25"/>
      <c r="G26" s="25">
        <f>1-(1-G6)^(1/G$2)</f>
        <v>4.2936041368291988E-2</v>
      </c>
      <c r="H26" s="25">
        <f>1-(1-H6)^(1/H$2)</f>
        <v>1.3085616681973833E-2</v>
      </c>
      <c r="I26" s="25">
        <f>1-(1-I6)^(1/I$2)</f>
        <v>3.8230796916432719E-2</v>
      </c>
      <c r="J26" s="25">
        <f>1-(1-J6)^(1/J$2)</f>
        <v>1.5011266906707066E-3</v>
      </c>
      <c r="K26" s="25"/>
      <c r="L26" s="25">
        <f>1-(1-L6)^(1/L$2)</f>
        <v>4.893386295977753E-2</v>
      </c>
      <c r="M26" s="25"/>
      <c r="N26" s="25">
        <f>1-(1-N6)^(1/N$2)</f>
        <v>4.4805541054961817E-2</v>
      </c>
      <c r="O26" s="25">
        <f>1-(1-O6)^(1/O$2)</f>
        <v>7.2269547947933166E-2</v>
      </c>
      <c r="P26" s="25">
        <f>1-(1-P6)^(1/P$2)</f>
        <v>4.535972906399599E-2</v>
      </c>
      <c r="Q26" s="25"/>
      <c r="R26" s="25">
        <f>1-(1-R6)^(1/R$2)</f>
        <v>4.7259406622516376E-2</v>
      </c>
      <c r="S26" s="25">
        <f>1-(1-S6)^(1/S$2)</f>
        <v>1.7881053518364887E-3</v>
      </c>
      <c r="T26" s="25">
        <f>1-(1-T6)^(1/T$2)</f>
        <v>4.5821330976822172E-2</v>
      </c>
      <c r="U26" s="25">
        <f>1-(1-U6)^(1/U$2)</f>
        <v>4.5086352014290454E-2</v>
      </c>
      <c r="V26" s="25">
        <f>1-(1-V6)^(1/V$2)</f>
        <v>6.8850084905162312E-2</v>
      </c>
      <c r="W26" s="25">
        <f>1-(1-W6)^(1/W$2)</f>
        <v>2.8158130166671125E-3</v>
      </c>
      <c r="X26" s="25"/>
      <c r="Y26" s="25">
        <f>1-(1-Y6)^(1/Y$2)</f>
        <v>3.5086924935814223E-2</v>
      </c>
      <c r="Z26" s="25"/>
    </row>
    <row r="27" spans="1:26" s="2" customFormat="1" x14ac:dyDescent="0.2">
      <c r="A27" s="8" t="s">
        <v>2</v>
      </c>
      <c r="B27" s="25"/>
      <c r="C27" s="25"/>
      <c r="D27" s="25">
        <f>1-(1-D7)^(1/D$2)</f>
        <v>4.7000000000000042E-2</v>
      </c>
      <c r="E27" s="25"/>
      <c r="F27" s="25"/>
      <c r="G27" s="25"/>
      <c r="H27" s="25"/>
      <c r="I27" s="25">
        <f>1-(1-I7)^(1/I$2)</f>
        <v>6.1383997579414817E-2</v>
      </c>
      <c r="J27" s="25">
        <f t="shared" ref="J27:J37" si="0">1-(1-J7)^(1/J$2)</f>
        <v>1.2579117093425074E-2</v>
      </c>
      <c r="K27" s="25"/>
      <c r="L27" s="25"/>
      <c r="M27" s="25"/>
      <c r="N27" s="25">
        <f>1-(1-N7)^(1/N$2)</f>
        <v>0.12525641884594041</v>
      </c>
      <c r="O27" s="25"/>
      <c r="P27" s="25"/>
      <c r="Q27" s="25"/>
      <c r="R27" s="25"/>
      <c r="S27" s="25">
        <f>1-(1-S7)^(1/S$2)</f>
        <v>1.1629283706584559E-3</v>
      </c>
      <c r="T27" s="25">
        <f>1-(1-T7)^(1/T$2)</f>
        <v>3.3559751254696235E-2</v>
      </c>
      <c r="U27" s="25"/>
      <c r="V27" s="25"/>
      <c r="W27" s="25"/>
      <c r="X27" s="25">
        <f>1-(1-X7)^(1/X$2)</f>
        <v>7.512016140650668E-3</v>
      </c>
      <c r="Y27" s="25">
        <f>1-(1-Y7)^(1/Y$2)</f>
        <v>2.9314225741696842E-2</v>
      </c>
      <c r="Z27" s="25">
        <v>0.02</v>
      </c>
    </row>
    <row r="28" spans="1:26" s="2" customFormat="1" x14ac:dyDescent="0.2">
      <c r="A28" s="8" t="s">
        <v>3</v>
      </c>
      <c r="B28" s="25"/>
      <c r="C28" s="25"/>
      <c r="D28" s="25">
        <f>1-(1-D8)^(1/D$2)</f>
        <v>5.1000000000000045E-2</v>
      </c>
      <c r="E28" s="25"/>
      <c r="F28" s="25"/>
      <c r="G28" s="25"/>
      <c r="H28" s="25"/>
      <c r="I28" s="25"/>
      <c r="J28" s="25"/>
      <c r="K28" s="25"/>
      <c r="L28" s="25"/>
      <c r="M28" s="25"/>
      <c r="N28" s="25">
        <f>1-(1-N8)^(1/N$2)</f>
        <v>0.24965956664165412</v>
      </c>
      <c r="O28" s="25"/>
      <c r="P28" s="25"/>
      <c r="Q28" s="25"/>
      <c r="R28" s="25"/>
      <c r="S28" s="25"/>
      <c r="T28" s="25"/>
      <c r="U28" s="25"/>
      <c r="V28" s="25"/>
      <c r="W28" s="25"/>
      <c r="X28" s="25">
        <f>1-(1-X8)^(1/X$2)</f>
        <v>5.6637947980039405E-3</v>
      </c>
      <c r="Y28" s="25"/>
      <c r="Z28" s="25">
        <v>0.01</v>
      </c>
    </row>
    <row r="29" spans="1:26" s="2" customFormat="1" x14ac:dyDescent="0.2">
      <c r="A29" s="8" t="s">
        <v>4</v>
      </c>
      <c r="B29" s="25"/>
      <c r="C29" s="25"/>
      <c r="D29" s="25">
        <f>1-(1-D9)^(1/D$2)</f>
        <v>0.41599999999999993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>
        <f>1-(1-X9)^(1/X$2)</f>
        <v>3.5653274539705904E-2</v>
      </c>
      <c r="Y29" s="25"/>
      <c r="Z29" s="25">
        <v>0.09</v>
      </c>
    </row>
    <row r="30" spans="1:26" s="2" customFormat="1" x14ac:dyDescent="0.2">
      <c r="A30" s="8" t="s">
        <v>15</v>
      </c>
      <c r="B30" s="25">
        <f>1-(1-B10)^(1/B$2)</f>
        <v>0.17007899999999998</v>
      </c>
      <c r="C30" s="25"/>
      <c r="D30" s="25"/>
      <c r="E30" s="25"/>
      <c r="F30" s="25"/>
      <c r="G30" s="25"/>
      <c r="H30" s="25"/>
      <c r="I30" s="25"/>
      <c r="J30" s="25"/>
      <c r="K30" s="25">
        <f>1-(1-K10)^(1/K$2)</f>
        <v>2.0204102886728803E-2</v>
      </c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s="2" customFormat="1" x14ac:dyDescent="0.2">
      <c r="A31" s="8" t="s">
        <v>9</v>
      </c>
      <c r="B31" s="25"/>
      <c r="C31" s="25">
        <f>1-(1-C11)^(1/C$2)</f>
        <v>0.14900000000000002</v>
      </c>
      <c r="D31" s="25"/>
      <c r="E31" s="25"/>
      <c r="F31" s="25"/>
      <c r="G31" s="25"/>
      <c r="H31" s="25"/>
      <c r="I31" s="25">
        <f>1-(1-I11)^(1/I$2)</f>
        <v>4.187683463972125E-2</v>
      </c>
      <c r="J31" s="25">
        <f t="shared" si="0"/>
        <v>4.008032160901398E-3</v>
      </c>
      <c r="K31" s="25"/>
      <c r="L31" s="25"/>
      <c r="M31" s="25">
        <f>1-(1-M11)^(1/M$2)</f>
        <v>6.919741171557181E-2</v>
      </c>
      <c r="N31" s="25"/>
      <c r="O31" s="25"/>
      <c r="P31" s="25"/>
      <c r="Q31" s="25"/>
      <c r="R31" s="25"/>
      <c r="S31" s="25"/>
      <c r="T31" s="25"/>
      <c r="U31" s="25">
        <f>1-(1-U11)^(1/U$2)</f>
        <v>4.3647500209962997E-2</v>
      </c>
      <c r="V31" s="25"/>
      <c r="W31" s="25"/>
      <c r="X31" s="25"/>
      <c r="Y31" s="25"/>
      <c r="Z31" s="25"/>
    </row>
    <row r="32" spans="1:26" s="2" customFormat="1" x14ac:dyDescent="0.2">
      <c r="A32" s="20" t="s">
        <v>13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s="2" customFormat="1" x14ac:dyDescent="0.2">
      <c r="A33" s="8" t="s">
        <v>5</v>
      </c>
      <c r="B33" s="25"/>
      <c r="C33" s="25"/>
      <c r="D33" s="25">
        <f>1-(1-D13)^(1/D$2)</f>
        <v>7.0999999999999952E-2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>
        <f>1-(1-X13)^(1/X$2)</f>
        <v>4.235731168636292E-3</v>
      </c>
      <c r="Y33" s="25"/>
      <c r="Z33" s="25">
        <v>7.0000000000000001E-3</v>
      </c>
    </row>
    <row r="34" spans="1:26" s="2" customFormat="1" x14ac:dyDescent="0.2">
      <c r="A34" s="8" t="s">
        <v>6</v>
      </c>
      <c r="B34" s="25"/>
      <c r="C34" s="25"/>
      <c r="D34" s="25">
        <f>1-(1-D14)^(1/D$2)</f>
        <v>8.0999999999999961E-2</v>
      </c>
      <c r="E34" s="25"/>
      <c r="F34" s="25"/>
      <c r="G34" s="25"/>
      <c r="H34" s="25"/>
      <c r="I34" s="25"/>
      <c r="J34" s="25"/>
      <c r="K34" s="25"/>
      <c r="L34" s="25"/>
      <c r="M34" s="25"/>
      <c r="N34" s="25">
        <f>1-(1-N14)^(1/N$2)</f>
        <v>4.3394878084737409E-2</v>
      </c>
      <c r="O34" s="25"/>
      <c r="P34" s="25"/>
      <c r="Q34" s="25"/>
      <c r="R34" s="25"/>
      <c r="S34" s="25"/>
      <c r="T34" s="25"/>
      <c r="U34" s="25"/>
      <c r="V34" s="25"/>
      <c r="W34" s="25"/>
      <c r="X34" s="25">
        <f>1-(1-X14)^(1/X$2)</f>
        <v>1.1878883188003786E-2</v>
      </c>
      <c r="Y34" s="25"/>
      <c r="Z34" s="25">
        <v>0.04</v>
      </c>
    </row>
    <row r="35" spans="1:26" s="2" customFormat="1" x14ac:dyDescent="0.2">
      <c r="A35" s="7" t="s">
        <v>7</v>
      </c>
      <c r="B35" s="25"/>
      <c r="C35" s="25"/>
      <c r="D35" s="25"/>
      <c r="E35" s="25"/>
      <c r="F35" s="25"/>
      <c r="G35" s="25"/>
      <c r="H35" s="25">
        <f>1-(1-H15)^(1/H$2)</f>
        <v>0.20250391850492455</v>
      </c>
      <c r="I35" s="25"/>
      <c r="J35" s="25"/>
      <c r="K35" s="25"/>
      <c r="L35" s="25">
        <f>1-(1-L15)^(1/L$2)</f>
        <v>0.12802232988931883</v>
      </c>
      <c r="M35" s="25"/>
      <c r="N35" s="25">
        <f>1-(1-N15)^(1/N$2)</f>
        <v>2.0347203898746558E-2</v>
      </c>
      <c r="O35" s="25">
        <f>1-(1-O15)^(1/O$2)</f>
        <v>7.8568524269031492E-2</v>
      </c>
      <c r="P35" s="25">
        <f>1-(1-P15)^(1/P$2)</f>
        <v>6.7830248213842315E-2</v>
      </c>
      <c r="Q35" s="25"/>
      <c r="R35" s="25"/>
      <c r="S35" s="25">
        <f>1-(1-S15)^(1/S$2)</f>
        <v>4.2055038027878355E-3</v>
      </c>
      <c r="T35" s="25">
        <f>1-(1-T15)^(1/T$2)</f>
        <v>4.7601530752453547E-2</v>
      </c>
      <c r="U35" s="25">
        <f>1-(1-U15)^(1/U$2)</f>
        <v>4.3647500209962997E-2</v>
      </c>
      <c r="V35" s="25">
        <f>1-(1-V15)^(1/V$2)</f>
        <v>2.5242614469207947E-2</v>
      </c>
      <c r="W35" s="25">
        <f>1-(1-W15)^(1/W$2)</f>
        <v>7.3688885727941411E-2</v>
      </c>
      <c r="X35" s="25"/>
      <c r="Y35" s="25">
        <f>1-(1-Y15)^(1/Y$2)</f>
        <v>2.9314225741696842E-2</v>
      </c>
      <c r="Z35" s="25"/>
    </row>
    <row r="36" spans="1:26" s="2" customFormat="1" x14ac:dyDescent="0.2">
      <c r="A36" s="7" t="s">
        <v>8</v>
      </c>
      <c r="B36" s="25"/>
      <c r="C36" s="25"/>
      <c r="D36" s="25"/>
      <c r="E36" s="25"/>
      <c r="F36" s="25"/>
      <c r="G36" s="25">
        <f>1-(1-G16)^(1/G$2)</f>
        <v>0.18370563941691609</v>
      </c>
      <c r="H36" s="25">
        <f>1-(1-H16)^(1/H$2)</f>
        <v>0.2490006657792565</v>
      </c>
      <c r="I36" s="25"/>
      <c r="J36" s="25"/>
      <c r="K36" s="25"/>
      <c r="L36" s="25">
        <f>1-(1-L16)^(1/L$2)</f>
        <v>0.22848093282739645</v>
      </c>
      <c r="M36" s="25"/>
      <c r="N36" s="25">
        <f>1-(1-N16)^(1/N$2)</f>
        <v>0.24144238688435449</v>
      </c>
      <c r="O36" s="25">
        <f>1-(1-O16)^(1/O$2)</f>
        <v>0.24579261676806652</v>
      </c>
      <c r="P36" s="25">
        <f>1-(1-P16)^(1/P$2)</f>
        <v>0.19585484828218835</v>
      </c>
      <c r="Q36" s="25"/>
      <c r="R36" s="25"/>
      <c r="S36" s="25">
        <f>1-(1-S16)^(1/S$2)</f>
        <v>7.374717278124665E-3</v>
      </c>
      <c r="T36" s="25">
        <f>1-(1-T16)^(1/T$2)</f>
        <v>8.3148229830859122E-2</v>
      </c>
      <c r="U36" s="25">
        <f>1-(1-U16)^(1/U$2)</f>
        <v>0.16251036034993827</v>
      </c>
      <c r="V36" s="25">
        <f>1-(1-V16)^(1/V$2)</f>
        <v>9.7119548552565771E-2</v>
      </c>
      <c r="W36" s="25"/>
      <c r="X36" s="25"/>
      <c r="Y36" s="25">
        <f>1-(1-Y16)^(1/Y$2)</f>
        <v>1.6900014673153607E-2</v>
      </c>
      <c r="Z36" s="25"/>
    </row>
    <row r="37" spans="1:26" s="2" customFormat="1" x14ac:dyDescent="0.2">
      <c r="A37" s="7" t="s">
        <v>12</v>
      </c>
      <c r="B37" s="25">
        <f>1-(1-B17)^(1/B$2)</f>
        <v>0.53895899999999997</v>
      </c>
      <c r="C37" s="25"/>
      <c r="D37" s="25"/>
      <c r="E37" s="25">
        <f>1-(1-E17)^(1/E$2)</f>
        <v>0.27672964118594734</v>
      </c>
      <c r="F37" s="25"/>
      <c r="G37" s="25"/>
      <c r="H37" s="25"/>
      <c r="I37" s="25">
        <f>1-(1-I17)^(1/I$2)</f>
        <v>0.27750432527246227</v>
      </c>
      <c r="J37" s="25">
        <f t="shared" si="0"/>
        <v>0.2851573599735393</v>
      </c>
      <c r="K37" s="25">
        <f>1-(1-K17)^(1/K$2)</f>
        <v>0.15147186257614298</v>
      </c>
      <c r="L37" s="25">
        <f>1-(1-L17)^(1/L$2)</f>
        <v>0</v>
      </c>
      <c r="M37" s="25">
        <f>1-(1-M17)^(1/M$2)</f>
        <v>0.22228319644452266</v>
      </c>
      <c r="N37" s="25"/>
      <c r="O37" s="25"/>
      <c r="P37" s="25"/>
      <c r="Q37" s="25"/>
      <c r="R37" s="25"/>
      <c r="S37" s="25"/>
      <c r="T37" s="25"/>
      <c r="U37" s="25">
        <f t="shared" ref="U37" si="1">1-(1-U17)^(1/U$2)</f>
        <v>0.13761007173085149</v>
      </c>
      <c r="V37" s="25"/>
      <c r="W37" s="25"/>
      <c r="X37" s="25"/>
      <c r="Y37" s="25"/>
      <c r="Z37" s="25"/>
    </row>
    <row r="38" spans="1:26" s="2" customFormat="1" x14ac:dyDescent="0.2">
      <c r="C38" s="3"/>
      <c r="D38" s="3"/>
      <c r="E38" s="3"/>
      <c r="F38" s="3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3"/>
      <c r="V38" s="3"/>
      <c r="W38" s="3"/>
      <c r="X38" s="3"/>
    </row>
    <row r="39" spans="1:26" x14ac:dyDescent="0.2">
      <c r="A39" s="2" t="s">
        <v>38</v>
      </c>
      <c r="B39" s="2"/>
      <c r="C39" s="3"/>
      <c r="D39" s="3"/>
      <c r="E39" s="3"/>
      <c r="F39" s="3"/>
      <c r="G39" s="15"/>
      <c r="H39" s="15"/>
      <c r="I39" s="15"/>
      <c r="J39" s="15"/>
      <c r="K39" s="15"/>
      <c r="L39" s="15"/>
      <c r="M39" s="15"/>
      <c r="N39" s="15"/>
      <c r="O39" s="15"/>
    </row>
    <row r="40" spans="1:26" x14ac:dyDescent="0.2">
      <c r="A40" t="s">
        <v>59</v>
      </c>
    </row>
    <row r="41" spans="1:26" x14ac:dyDescent="0.2">
      <c r="A41" t="s">
        <v>63</v>
      </c>
    </row>
    <row r="43" spans="1:26" x14ac:dyDescent="0.2">
      <c r="A43" s="30" t="s">
        <v>52</v>
      </c>
      <c r="X43" s="33" t="s">
        <v>61</v>
      </c>
    </row>
    <row r="44" spans="1:26" x14ac:dyDescent="0.2">
      <c r="A44" s="4" t="s">
        <v>20</v>
      </c>
      <c r="B44" s="4" t="s">
        <v>21</v>
      </c>
      <c r="C44" s="4" t="s">
        <v>22</v>
      </c>
      <c r="D44" s="4" t="s">
        <v>23</v>
      </c>
      <c r="E44" s="4" t="s">
        <v>24</v>
      </c>
      <c r="F44" s="4" t="s">
        <v>33</v>
      </c>
      <c r="G44" s="4" t="s">
        <v>25</v>
      </c>
      <c r="H44" s="4" t="s">
        <v>27</v>
      </c>
      <c r="I44" s="4" t="s">
        <v>26</v>
      </c>
      <c r="J44" s="34"/>
      <c r="K44" s="34"/>
      <c r="L44" s="34"/>
      <c r="M44" s="34"/>
      <c r="N44" s="34"/>
      <c r="O44" s="34"/>
      <c r="P44" s="36"/>
      <c r="Q44" s="36"/>
      <c r="R44" s="36"/>
      <c r="S44" s="36"/>
      <c r="T44" s="36"/>
    </row>
    <row r="45" spans="1:26" x14ac:dyDescent="0.2">
      <c r="A45" s="5" t="s">
        <v>14</v>
      </c>
      <c r="B45" s="10"/>
      <c r="C45" s="10"/>
      <c r="D45" s="10"/>
      <c r="E45" s="10"/>
      <c r="F45" s="10"/>
      <c r="G45" s="10"/>
      <c r="H45" s="10"/>
      <c r="I45" s="10"/>
      <c r="J45" s="15"/>
      <c r="K45" s="15"/>
      <c r="L45" s="15"/>
      <c r="M45" s="15"/>
      <c r="N45" s="15"/>
      <c r="O45" s="15"/>
    </row>
    <row r="46" spans="1:26" x14ac:dyDescent="0.2">
      <c r="A46" s="6" t="s">
        <v>0</v>
      </c>
      <c r="B46" s="16"/>
      <c r="C46" s="16"/>
      <c r="D46" s="16">
        <v>0.11</v>
      </c>
      <c r="E46" s="16">
        <v>8.6999999999999994E-2</v>
      </c>
      <c r="F46" s="16">
        <v>8.7999999999999995E-2</v>
      </c>
      <c r="G46" s="16">
        <v>0.03</v>
      </c>
      <c r="H46" s="16">
        <v>7.0000000000000007E-2</v>
      </c>
      <c r="I46" s="16"/>
      <c r="J46" s="15"/>
      <c r="K46" s="15"/>
      <c r="L46" s="15"/>
      <c r="M46" s="15"/>
      <c r="N46" s="15"/>
      <c r="O46" s="15"/>
    </row>
    <row r="47" spans="1:26" x14ac:dyDescent="0.2">
      <c r="A47" s="6" t="s">
        <v>1</v>
      </c>
      <c r="B47" s="16"/>
      <c r="C47" s="16">
        <v>0.08</v>
      </c>
      <c r="D47" s="16" t="s">
        <v>28</v>
      </c>
      <c r="E47" s="16" t="s">
        <v>57</v>
      </c>
      <c r="F47" s="16">
        <v>0.23100000000000001</v>
      </c>
      <c r="G47" s="16" t="s">
        <v>35</v>
      </c>
      <c r="H47" s="16">
        <v>0.23499999999999999</v>
      </c>
      <c r="I47" s="16"/>
      <c r="J47" s="15"/>
      <c r="K47" s="15"/>
      <c r="L47" s="15"/>
      <c r="M47" s="15"/>
      <c r="N47" s="15"/>
      <c r="O47" s="15"/>
    </row>
    <row r="48" spans="1:26" x14ac:dyDescent="0.2">
      <c r="A48" s="19" t="s">
        <v>2</v>
      </c>
      <c r="B48" s="16"/>
      <c r="C48" s="27">
        <v>4.7E-2</v>
      </c>
      <c r="D48" s="16" t="s">
        <v>29</v>
      </c>
      <c r="E48" s="16">
        <v>7.4999999999999997E-2</v>
      </c>
      <c r="F48" s="27">
        <v>0.17399999999999999</v>
      </c>
      <c r="G48" s="27">
        <v>3.6999999999999998E-2</v>
      </c>
      <c r="H48" s="27">
        <v>0.2</v>
      </c>
      <c r="I48" s="27">
        <v>0.02</v>
      </c>
      <c r="J48" s="15"/>
      <c r="K48" s="15"/>
      <c r="L48" s="15"/>
      <c r="M48" s="15"/>
      <c r="N48" s="15"/>
      <c r="O48" s="15"/>
    </row>
    <row r="49" spans="1:15" x14ac:dyDescent="0.2">
      <c r="A49" s="19" t="s">
        <v>3</v>
      </c>
      <c r="B49" s="16"/>
      <c r="C49" s="27">
        <v>5.0999999999999997E-2</v>
      </c>
      <c r="D49" s="16">
        <v>0.47599999999999998</v>
      </c>
      <c r="E49" s="16"/>
      <c r="F49" s="27"/>
      <c r="G49" s="27">
        <v>2.8000000000000001E-2</v>
      </c>
      <c r="H49" s="27"/>
      <c r="I49" s="27">
        <v>0.01</v>
      </c>
      <c r="J49" s="15"/>
      <c r="K49" s="15"/>
      <c r="L49" s="15"/>
      <c r="M49" s="15"/>
      <c r="N49" s="15"/>
      <c r="O49" s="15"/>
    </row>
    <row r="50" spans="1:15" x14ac:dyDescent="0.2">
      <c r="A50" s="19" t="s">
        <v>4</v>
      </c>
      <c r="B50" s="16"/>
      <c r="C50" s="27">
        <v>0.41599999999999998</v>
      </c>
      <c r="D50" s="16"/>
      <c r="E50" s="16"/>
      <c r="F50" s="27"/>
      <c r="G50" s="27">
        <v>0.16600000000000001</v>
      </c>
      <c r="H50" s="27"/>
      <c r="I50" s="27">
        <v>0.09</v>
      </c>
      <c r="J50" s="15"/>
      <c r="K50" s="15"/>
      <c r="L50" s="15"/>
      <c r="M50" s="15"/>
      <c r="N50" s="15"/>
      <c r="O50" s="15"/>
    </row>
    <row r="51" spans="1:15" x14ac:dyDescent="0.2">
      <c r="A51" s="19" t="s">
        <v>15</v>
      </c>
      <c r="B51" s="27">
        <v>8.8999999999999996E-2</v>
      </c>
      <c r="C51" s="16"/>
      <c r="D51" s="16">
        <v>0.04</v>
      </c>
      <c r="E51" s="16"/>
      <c r="F51" s="27"/>
      <c r="G51" s="16"/>
      <c r="H51" s="27"/>
      <c r="I51" s="27"/>
      <c r="J51" s="15"/>
      <c r="K51" s="15"/>
      <c r="L51" s="15"/>
      <c r="M51" s="15"/>
      <c r="N51" s="15"/>
      <c r="O51" s="15"/>
    </row>
    <row r="52" spans="1:15" x14ac:dyDescent="0.2">
      <c r="A52" s="19" t="s">
        <v>9</v>
      </c>
      <c r="B52" s="16"/>
      <c r="C52" s="27">
        <v>0.14899999999999999</v>
      </c>
      <c r="D52" s="16" t="s">
        <v>53</v>
      </c>
      <c r="E52" s="16"/>
      <c r="F52" s="27"/>
      <c r="G52" s="27">
        <v>0.2</v>
      </c>
      <c r="H52" s="27"/>
      <c r="I52" s="27"/>
      <c r="J52" s="15"/>
      <c r="K52" s="15"/>
      <c r="L52" s="15"/>
      <c r="M52" s="15"/>
      <c r="N52" s="15"/>
      <c r="O52" s="15"/>
    </row>
    <row r="53" spans="1:15" x14ac:dyDescent="0.2">
      <c r="A53" s="9" t="s">
        <v>13</v>
      </c>
      <c r="B53" s="17"/>
      <c r="C53" s="17"/>
      <c r="D53" s="17"/>
      <c r="E53" s="17"/>
      <c r="F53" s="18"/>
      <c r="G53" s="17"/>
      <c r="H53" s="18"/>
      <c r="I53" s="18"/>
      <c r="J53" s="15"/>
      <c r="K53" s="15"/>
      <c r="L53" s="15"/>
      <c r="M53" s="15"/>
      <c r="N53" s="15"/>
      <c r="O53" s="15"/>
    </row>
    <row r="54" spans="1:15" x14ac:dyDescent="0.2">
      <c r="A54" s="19" t="s">
        <v>5</v>
      </c>
      <c r="B54" s="27"/>
      <c r="C54" s="27">
        <v>7.0999999999999994E-2</v>
      </c>
      <c r="D54" s="16"/>
      <c r="E54" s="16"/>
      <c r="F54" s="27"/>
      <c r="G54" s="27">
        <v>2.1000000000000001E-2</v>
      </c>
      <c r="H54" s="27"/>
      <c r="I54" s="27">
        <v>7.0000000000000001E-3</v>
      </c>
      <c r="J54" s="15"/>
      <c r="K54" s="15"/>
      <c r="L54" s="15"/>
      <c r="M54" s="15"/>
      <c r="N54" s="15"/>
      <c r="O54" s="15"/>
    </row>
    <row r="55" spans="1:15" x14ac:dyDescent="0.2">
      <c r="A55" s="19" t="s">
        <v>6</v>
      </c>
      <c r="B55" s="27"/>
      <c r="C55" s="27">
        <v>8.1000000000000003E-2</v>
      </c>
      <c r="D55" s="16">
        <v>9.5000000000000001E-2</v>
      </c>
      <c r="E55" s="16"/>
      <c r="F55" s="27"/>
      <c r="G55" s="27">
        <v>5.8000000000000003E-2</v>
      </c>
      <c r="H55" s="27"/>
      <c r="I55" s="27">
        <v>0.04</v>
      </c>
      <c r="J55" s="15"/>
      <c r="K55" s="15"/>
      <c r="L55" s="15"/>
      <c r="M55" s="15"/>
      <c r="N55" s="15"/>
      <c r="O55" s="15"/>
    </row>
    <row r="56" spans="1:15" x14ac:dyDescent="0.2">
      <c r="A56" s="6" t="s">
        <v>7</v>
      </c>
      <c r="B56" s="16"/>
      <c r="C56" s="16"/>
      <c r="D56" s="37" t="s">
        <v>54</v>
      </c>
      <c r="E56" s="16" t="s">
        <v>34</v>
      </c>
      <c r="F56" s="16">
        <v>0.23899999999999999</v>
      </c>
      <c r="G56" s="16" t="s">
        <v>36</v>
      </c>
      <c r="H56" s="16">
        <v>0.2</v>
      </c>
      <c r="I56" s="16"/>
      <c r="J56" s="15"/>
      <c r="K56" s="15"/>
      <c r="L56" s="15"/>
      <c r="M56" s="15"/>
      <c r="N56" s="15"/>
      <c r="O56" s="15"/>
    </row>
    <row r="57" spans="1:15" x14ac:dyDescent="0.2">
      <c r="A57" s="6" t="s">
        <v>8</v>
      </c>
      <c r="B57" s="16"/>
      <c r="C57" s="16">
        <v>0.32</v>
      </c>
      <c r="D57" s="16" t="s">
        <v>55</v>
      </c>
      <c r="E57" s="16" t="s">
        <v>58</v>
      </c>
      <c r="F57" s="16">
        <v>0.38500000000000001</v>
      </c>
      <c r="G57" s="16" t="s">
        <v>37</v>
      </c>
      <c r="H57" s="16">
        <v>0.12</v>
      </c>
      <c r="I57" s="16"/>
      <c r="J57" s="15"/>
      <c r="K57" s="15"/>
      <c r="L57" s="15"/>
      <c r="M57" s="15"/>
      <c r="N57" s="15"/>
      <c r="O57" s="15"/>
    </row>
    <row r="58" spans="1:15" x14ac:dyDescent="0.2">
      <c r="A58" s="6" t="s">
        <v>12</v>
      </c>
      <c r="B58" s="16">
        <v>0.32100000000000001</v>
      </c>
      <c r="C58" s="16">
        <v>0.33300000000000002</v>
      </c>
      <c r="D58" s="16" t="s">
        <v>56</v>
      </c>
      <c r="E58" s="16"/>
      <c r="F58" s="16"/>
      <c r="G58" s="16">
        <v>0.52300000000000002</v>
      </c>
      <c r="H58" s="16"/>
      <c r="I58" s="16"/>
      <c r="J58" s="15"/>
      <c r="K58" s="15"/>
      <c r="L58" s="15"/>
      <c r="M58" s="15"/>
      <c r="N58" s="15"/>
      <c r="O58" s="15"/>
    </row>
    <row r="63" spans="1:15" x14ac:dyDescent="0.2">
      <c r="A63" s="30" t="s">
        <v>60</v>
      </c>
    </row>
    <row r="64" spans="1:15" x14ac:dyDescent="0.2">
      <c r="A64" s="4" t="s">
        <v>20</v>
      </c>
      <c r="B64" s="4" t="s">
        <v>21</v>
      </c>
      <c r="C64" s="4" t="s">
        <v>22</v>
      </c>
      <c r="D64" s="4" t="s">
        <v>23</v>
      </c>
      <c r="E64" s="4" t="s">
        <v>24</v>
      </c>
      <c r="F64" s="4" t="s">
        <v>33</v>
      </c>
      <c r="G64" s="4" t="s">
        <v>25</v>
      </c>
      <c r="H64" s="4" t="s">
        <v>27</v>
      </c>
      <c r="I64" s="4" t="s">
        <v>26</v>
      </c>
    </row>
    <row r="65" spans="1:9" x14ac:dyDescent="0.2">
      <c r="A65" s="5" t="s">
        <v>14</v>
      </c>
      <c r="B65" s="10"/>
      <c r="C65" s="10"/>
      <c r="D65" s="10"/>
      <c r="E65" s="10"/>
      <c r="F65" s="10"/>
      <c r="G65" s="10"/>
      <c r="H65" s="10"/>
      <c r="I65" s="10"/>
    </row>
    <row r="66" spans="1:9" x14ac:dyDescent="0.2">
      <c r="A66" s="6" t="s">
        <v>0</v>
      </c>
      <c r="B66" s="16"/>
      <c r="C66" s="16"/>
      <c r="D66" s="16" t="s">
        <v>44</v>
      </c>
      <c r="E66" s="16"/>
      <c r="F66" s="16"/>
      <c r="G66" s="16">
        <v>6.0000000000000001E-3</v>
      </c>
      <c r="H66" s="16">
        <v>0.01</v>
      </c>
      <c r="I66" s="16"/>
    </row>
    <row r="67" spans="1:9" x14ac:dyDescent="0.2">
      <c r="A67" s="6" t="s">
        <v>1</v>
      </c>
      <c r="B67" s="16"/>
      <c r="C67" s="27">
        <v>4.2999999999999997E-2</v>
      </c>
      <c r="D67" s="16" t="s">
        <v>45</v>
      </c>
      <c r="E67" s="16" t="s">
        <v>46</v>
      </c>
      <c r="F67" s="16">
        <v>0.46</v>
      </c>
      <c r="G67" s="16" t="s">
        <v>47</v>
      </c>
      <c r="H67" s="16">
        <v>3.5000000000000003E-2</v>
      </c>
      <c r="I67" s="16"/>
    </row>
    <row r="68" spans="1:9" x14ac:dyDescent="0.2">
      <c r="A68" s="19" t="s">
        <v>2</v>
      </c>
      <c r="B68" s="16"/>
      <c r="C68" s="27">
        <v>4.7E-2</v>
      </c>
      <c r="D68" s="16" t="s">
        <v>48</v>
      </c>
      <c r="E68" s="16"/>
      <c r="F68" s="27">
        <v>3.4000000000000002E-2</v>
      </c>
      <c r="G68" s="27">
        <v>8.0000000000000002E-3</v>
      </c>
      <c r="H68" s="27">
        <v>2.9000000000000001E-2</v>
      </c>
      <c r="I68" s="27">
        <v>0.02</v>
      </c>
    </row>
    <row r="69" spans="1:9" x14ac:dyDescent="0.2">
      <c r="A69" s="19" t="s">
        <v>3</v>
      </c>
      <c r="B69" s="16"/>
      <c r="C69" s="27">
        <v>5.0999999999999997E-2</v>
      </c>
      <c r="D69" s="16">
        <v>2.5000000000000001E-2</v>
      </c>
      <c r="E69" s="16"/>
      <c r="F69" s="27"/>
      <c r="G69" s="27">
        <v>6.0000000000000001E-3</v>
      </c>
      <c r="H69" s="27"/>
      <c r="I69" s="27">
        <v>0.01</v>
      </c>
    </row>
    <row r="70" spans="1:9" x14ac:dyDescent="0.2">
      <c r="A70" s="19" t="s">
        <v>4</v>
      </c>
      <c r="B70" s="16"/>
      <c r="C70" s="16">
        <v>0.41599999999999998</v>
      </c>
      <c r="D70" s="16"/>
      <c r="E70" s="16"/>
      <c r="F70" s="27"/>
      <c r="G70" s="27">
        <v>3.5999999999999997E-2</v>
      </c>
      <c r="H70" s="27"/>
      <c r="I70" s="27">
        <v>0.09</v>
      </c>
    </row>
    <row r="71" spans="1:9" x14ac:dyDescent="0.2">
      <c r="A71" s="19" t="s">
        <v>15</v>
      </c>
      <c r="B71" s="27">
        <v>0.17</v>
      </c>
      <c r="C71"/>
      <c r="D71" s="16">
        <v>0.02</v>
      </c>
      <c r="E71" s="16"/>
      <c r="F71" s="27"/>
      <c r="G71" s="16"/>
      <c r="H71" s="27"/>
      <c r="I71" s="27"/>
    </row>
    <row r="72" spans="1:9" x14ac:dyDescent="0.2">
      <c r="A72" s="19" t="s">
        <v>9</v>
      </c>
      <c r="B72" s="16"/>
      <c r="C72" s="27">
        <v>0.14899999999999999</v>
      </c>
      <c r="D72" s="16" t="s">
        <v>49</v>
      </c>
      <c r="E72" s="16"/>
      <c r="F72" s="27"/>
      <c r="G72" s="27">
        <v>0.2</v>
      </c>
      <c r="H72" s="27"/>
      <c r="I72" s="27"/>
    </row>
    <row r="73" spans="1:9" x14ac:dyDescent="0.2">
      <c r="A73" s="9" t="s">
        <v>13</v>
      </c>
      <c r="B73" s="17"/>
      <c r="C73" s="17"/>
      <c r="D73" s="17"/>
      <c r="E73" s="17"/>
      <c r="F73" s="18"/>
      <c r="G73" s="17"/>
      <c r="H73" s="18"/>
      <c r="I73" s="18"/>
    </row>
    <row r="74" spans="1:9" x14ac:dyDescent="0.2">
      <c r="A74" s="19" t="s">
        <v>5</v>
      </c>
      <c r="B74" s="27"/>
      <c r="C74" s="27">
        <v>7.0999999999999994E-2</v>
      </c>
      <c r="D74" s="16"/>
      <c r="E74" s="16"/>
      <c r="F74" s="27"/>
      <c r="G74" s="27">
        <v>4.0000000000000001E-3</v>
      </c>
      <c r="H74" s="27"/>
      <c r="I74" s="27">
        <v>7.0000000000000001E-3</v>
      </c>
    </row>
    <row r="75" spans="1:9" x14ac:dyDescent="0.2">
      <c r="A75" s="19" t="s">
        <v>6</v>
      </c>
      <c r="B75" s="27"/>
      <c r="C75" s="27">
        <v>8.1000000000000003E-2</v>
      </c>
      <c r="D75" s="16">
        <v>9.5000000000000001E-2</v>
      </c>
      <c r="E75" s="16"/>
      <c r="F75" s="27"/>
      <c r="G75" s="27">
        <v>1.2E-2</v>
      </c>
      <c r="H75" s="27"/>
      <c r="I75" s="27">
        <v>0.04</v>
      </c>
    </row>
    <row r="76" spans="1:9" x14ac:dyDescent="0.2">
      <c r="A76" s="6" t="s">
        <v>7</v>
      </c>
      <c r="B76" s="16"/>
      <c r="C76" s="16"/>
      <c r="D76" s="16" t="s">
        <v>30</v>
      </c>
      <c r="E76" s="16">
        <v>6.8000000000000005E-2</v>
      </c>
      <c r="F76" s="16">
        <v>4.8000000000000001E-2</v>
      </c>
      <c r="G76" s="16" t="s">
        <v>50</v>
      </c>
      <c r="H76" s="16">
        <v>2.9000000000000001E-2</v>
      </c>
      <c r="I76" s="16"/>
    </row>
    <row r="77" spans="1:9" x14ac:dyDescent="0.2">
      <c r="A77" s="6" t="s">
        <v>8</v>
      </c>
      <c r="B77" s="16"/>
      <c r="C77" s="16">
        <v>0.184</v>
      </c>
      <c r="D77" s="16" t="s">
        <v>31</v>
      </c>
      <c r="E77" s="16">
        <v>0.19600000000000001</v>
      </c>
      <c r="F77" s="16">
        <v>8.3000000000000004E-2</v>
      </c>
      <c r="G77" s="16" t="s">
        <v>51</v>
      </c>
      <c r="H77" s="16">
        <v>1.7000000000000001E-2</v>
      </c>
      <c r="I77" s="16"/>
    </row>
    <row r="78" spans="1:9" x14ac:dyDescent="0.2">
      <c r="A78" s="6" t="s">
        <v>12</v>
      </c>
      <c r="B78" s="16">
        <v>0.53900000000000003</v>
      </c>
      <c r="C78" s="16">
        <v>0.27700000000000002</v>
      </c>
      <c r="D78" s="16" t="s">
        <v>32</v>
      </c>
      <c r="E78" s="16"/>
      <c r="F78" s="16"/>
      <c r="G78" s="16">
        <v>0.52300000000000002</v>
      </c>
      <c r="H78" s="16"/>
      <c r="I78" s="16"/>
    </row>
    <row r="79" spans="1:9" x14ac:dyDescent="0.2">
      <c r="A79" s="28"/>
      <c r="B79" s="29"/>
      <c r="C79" s="35"/>
      <c r="D79" s="35"/>
      <c r="E79" s="35"/>
      <c r="F79" s="35"/>
      <c r="G79" s="35"/>
      <c r="H79" s="35"/>
      <c r="I79" s="35"/>
    </row>
    <row r="80" spans="1:9" x14ac:dyDescent="0.2">
      <c r="A80" s="13" t="s">
        <v>42</v>
      </c>
    </row>
    <row r="81" spans="1:1" x14ac:dyDescent="0.2">
      <c r="A81" s="3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Neema Minja</dc:creator>
  <cp:lastModifiedBy>Neema Minja</cp:lastModifiedBy>
  <dcterms:created xsi:type="dcterms:W3CDTF">2026-07-09T03:36:13Z</dcterms:created>
  <dcterms:modified xsi:type="dcterms:W3CDTF">2026-10-15T17:26:20Z</dcterms:modified>
</cp:coreProperties>
</file>