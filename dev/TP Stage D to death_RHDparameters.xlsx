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y/Desktop/"/>
    </mc:Choice>
  </mc:AlternateContent>
  <xr:revisionPtr revIDLastSave="0" documentId="13_ncr:1_{F28BEEC7-4ADB-174E-8F9D-95E1CF7AB24E}" xr6:coauthVersionLast="47" xr6:coauthVersionMax="47" xr10:uidLastSave="{00000000-0000-0000-0000-000000000000}"/>
  <bookViews>
    <workbookView xWindow="0" yWindow="500" windowWidth="28800" windowHeight="16580" xr2:uid="{C95193A8-1312-A24C-87AF-646C38D1E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J7" i="1" s="1"/>
  <c r="G7" i="1"/>
  <c r="I7" i="1" s="1"/>
  <c r="K7" i="1" s="1"/>
  <c r="H6" i="1"/>
  <c r="J6" i="1" s="1"/>
  <c r="G6" i="1"/>
  <c r="I6" i="1" s="1"/>
  <c r="K6" i="1" s="1"/>
  <c r="I5" i="1"/>
  <c r="K5" i="1" s="1"/>
  <c r="H5" i="1"/>
  <c r="J5" i="1" s="1"/>
  <c r="G5" i="1"/>
  <c r="H4" i="1"/>
  <c r="J4" i="1" s="1"/>
  <c r="G4" i="1"/>
  <c r="I4" i="1" s="1"/>
  <c r="K4" i="1" s="1"/>
  <c r="H3" i="1"/>
  <c r="J3" i="1" s="1"/>
  <c r="G3" i="1"/>
  <c r="I3" i="1" s="1"/>
  <c r="K3" i="1" s="1"/>
  <c r="I2" i="1"/>
  <c r="K2" i="1" s="1"/>
  <c r="H2" i="1"/>
  <c r="J2" i="1" s="1"/>
  <c r="G2" i="1"/>
</calcChain>
</file>

<file path=xl/sharedStrings.xml><?xml version="1.0" encoding="utf-8"?>
<sst xmlns="http://schemas.openxmlformats.org/spreadsheetml/2006/main" count="20" uniqueCount="17">
  <si>
    <t>Location</t>
  </si>
  <si>
    <t>Age</t>
  </si>
  <si>
    <t>GBD # deaths (A)</t>
  </si>
  <si>
    <t>GBD # prevalent cases (B)</t>
  </si>
  <si>
    <t>% Stage D (Literature proxy*) (C1)</t>
  </si>
  <si>
    <t>No. stage D (GBD HF d/t RHD proxy) (C2)</t>
  </si>
  <si>
    <t xml:space="preserve">% Stage D (GBD % HF d/t RHD proxy) (C2%) = C2/B x 100 </t>
  </si>
  <si>
    <t xml:space="preserve">No. cases in stage D [D1 = (B x C1) </t>
  </si>
  <si>
    <t>No. cases in stage D [D2 = (B x C2)]</t>
  </si>
  <si>
    <t>TP stage D to death (%) (A/D1)</t>
  </si>
  <si>
    <t>TP stage D to death (%) (A/D2)</t>
  </si>
  <si>
    <t>Uganda</t>
  </si>
  <si>
    <t>All ages</t>
  </si>
  <si>
    <t>0 - 39</t>
  </si>
  <si>
    <t>40 +</t>
  </si>
  <si>
    <t>Indonesia</t>
  </si>
  <si>
    <r>
      <t xml:space="preserve">*Australia registry data severe RHD at diagnosis defined as </t>
    </r>
    <r>
      <rPr>
        <b/>
        <i/>
        <sz val="12"/>
        <color theme="1"/>
        <rFont val="Calibri"/>
        <family val="2"/>
        <scheme val="minor"/>
      </rPr>
      <t>“Severe valvular disease or moderate–severe valvular lesion with symptoms of cardiac failure”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</si>
</sst>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2" fillId="0" borderId="2" xfId="0" applyNumberFormat="1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0" fontId="2" fillId="0" borderId="0" xfId="0" applyFont="1"/>
    <xf numFmtId="3" fontId="0" fillId="0" borderId="5" xfId="0" applyNumberFormat="1" applyBorder="1"/>
    <xf numFmtId="4" fontId="0" fillId="0" borderId="5" xfId="0" applyNumberFormat="1" applyBorder="1"/>
    <xf numFmtId="4" fontId="0" fillId="0" borderId="6" xfId="0" applyNumberFormat="1" applyBorder="1"/>
    <xf numFmtId="3" fontId="0" fillId="0" borderId="8" xfId="0" applyNumberFormat="1" applyBorder="1"/>
    <xf numFmtId="4" fontId="0" fillId="0" borderId="8" xfId="0" applyNumberFormat="1" applyBorder="1"/>
    <xf numFmtId="4" fontId="0" fillId="0" borderId="9" xfId="0" applyNumberFormat="1" applyBorder="1"/>
    <xf numFmtId="3" fontId="0" fillId="0" borderId="0" xfId="0" applyNumberFormat="1"/>
    <xf numFmtId="4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3" fontId="1" fillId="0" borderId="4" xfId="0" applyNumberFormat="1" applyFont="1" applyBorder="1"/>
    <xf numFmtId="3" fontId="0" fillId="0" borderId="4" xfId="0" applyNumberFormat="1" applyBorder="1"/>
    <xf numFmtId="3" fontId="0" fillId="0" borderId="7" xfId="0" applyNumberFormat="1" applyBorder="1"/>
    <xf numFmtId="3" fontId="1" fillId="0" borderId="0" xfId="0" applyNumberFormat="1" applyFont="1" applyAlignment="1">
      <alignment vertical="center"/>
    </xf>
    <xf numFmtId="4" fontId="1" fillId="0" borderId="6" xfId="0" applyNumberFormat="1" applyFont="1" applyBorder="1"/>
  </cellXfs>
  <cellStyles count="1">
    <cellStyle name="Normal" xfId="0" builtinId="0"/>
  </cellStyles>
  <dxfs count="16"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441BC-B769-1E43-991D-3C7F25354CA5}" name="Table1" displayName="Table1" ref="A1:K7" totalsRowShown="0" headerRowDxfId="15" dataDxfId="13" headerRowBorderDxfId="14" tableBorderDxfId="12" totalsRowBorderDxfId="11">
  <autoFilter ref="A1:K7" xr:uid="{8F6441BC-B769-1E43-991D-3C7F25354CA5}"/>
  <tableColumns count="11">
    <tableColumn id="1" xr3:uid="{8E47038C-4B96-5E47-8080-7FE971A0A83E}" name="Location" dataDxfId="10"/>
    <tableColumn id="2" xr3:uid="{91575411-5507-574B-83F2-C47CBB60C45D}" name="Age" dataDxfId="9"/>
    <tableColumn id="3" xr3:uid="{679D6CF5-33ED-6D4F-9E96-32F429B2DCE0}" name="GBD # deaths (A)" dataDxfId="8"/>
    <tableColumn id="4" xr3:uid="{0D8D534D-4AF8-AB43-8316-51E25CFEF847}" name="GBD # prevalent cases (B)" dataDxfId="7"/>
    <tableColumn id="5" xr3:uid="{BDE16C02-6881-B045-AD24-C76ADBF11424}" name="% Stage D (Literature proxy*) (C1)" dataDxfId="6"/>
    <tableColumn id="6" xr3:uid="{16DF6968-5E11-EA47-8990-D17EADDA6ACE}" name="No. stage D (GBD HF d/t RHD proxy) (C2)" dataDxfId="5"/>
    <tableColumn id="7" xr3:uid="{79673E19-B1C0-DB4E-A8D6-E4D7079B58AF}" name="% Stage D (GBD % HF d/t RHD proxy) (C2%) = C2/B x 100 " dataDxfId="4">
      <calculatedColumnFormula>F2/D2*100</calculatedColumnFormula>
    </tableColumn>
    <tableColumn id="8" xr3:uid="{F805F995-C3C7-214C-BD00-336A9EBB21A5}" name="No. cases in stage D [D1 = (B x C1) " dataDxfId="3">
      <calculatedColumnFormula>D2*(E2/100)</calculatedColumnFormula>
    </tableColumn>
    <tableColumn id="9" xr3:uid="{13F4D7B3-4814-7F4F-8755-DA2094492E08}" name="No. cases in stage D [D2 = (B x C2)]" dataDxfId="2">
      <calculatedColumnFormula>D2*(G2/100)</calculatedColumnFormula>
    </tableColumn>
    <tableColumn id="10" xr3:uid="{4F3EFEB5-EBB4-9545-A4EF-28B9A409AD6D}" name="TP stage D to death (%) (A/D1)" dataDxfId="1">
      <calculatedColumnFormula>C2/H2*100</calculatedColumnFormula>
    </tableColumn>
    <tableColumn id="11" xr3:uid="{F3DC8837-8330-1E45-B98B-D3D48D7B644C}" name="TP stage D to death (%) (A/D2)" dataDxfId="0">
      <calculatedColumnFormula>C2/I2*100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38BD-1DFF-2C4F-9011-187EECBF66F3}">
  <dimension ref="A1:N8"/>
  <sheetViews>
    <sheetView tabSelected="1" workbookViewId="0">
      <selection activeCell="K5" sqref="K5"/>
    </sheetView>
  </sheetViews>
  <sheetFormatPr baseColWidth="10" defaultRowHeight="16" x14ac:dyDescent="0.2"/>
  <cols>
    <col min="1" max="3" width="10.83203125" style="11"/>
    <col min="4" max="4" width="13" style="11" customWidth="1"/>
    <col min="5" max="6" width="10.83203125" style="11"/>
    <col min="7" max="7" width="10.83203125" style="12"/>
    <col min="8" max="9" width="10.83203125" style="11"/>
    <col min="10" max="11" width="10.83203125" style="12"/>
    <col min="12" max="14" width="10.83203125" style="11"/>
  </cols>
  <sheetData>
    <row r="1" spans="1:14" s="4" customFormat="1" ht="19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4"/>
      <c r="M1" s="14"/>
      <c r="N1" s="14"/>
    </row>
    <row r="2" spans="1:14" x14ac:dyDescent="0.2">
      <c r="A2" s="15" t="s">
        <v>11</v>
      </c>
      <c r="B2" s="5" t="s">
        <v>12</v>
      </c>
      <c r="C2" s="5">
        <v>393</v>
      </c>
      <c r="D2" s="5">
        <v>762663</v>
      </c>
      <c r="E2" s="5">
        <v>16.2</v>
      </c>
      <c r="F2" s="5">
        <v>6585</v>
      </c>
      <c r="G2" s="6">
        <f>F2/D2*100</f>
        <v>0.86342198323505936</v>
      </c>
      <c r="H2" s="5">
        <f t="shared" ref="H2:H7" si="0">D2*(E2/100)</f>
        <v>123551.406</v>
      </c>
      <c r="I2" s="5">
        <f>D2*(G2/100)</f>
        <v>6585.0000000000009</v>
      </c>
      <c r="J2" s="6">
        <f>C2/H2*100</f>
        <v>0.31808622234537742</v>
      </c>
      <c r="K2" s="19">
        <f>C2/I2*100</f>
        <v>5.9681093394077438</v>
      </c>
    </row>
    <row r="3" spans="1:14" x14ac:dyDescent="0.2">
      <c r="A3" s="15"/>
      <c r="B3" s="5" t="s">
        <v>13</v>
      </c>
      <c r="C3" s="5">
        <v>117</v>
      </c>
      <c r="D3" s="5">
        <v>601909</v>
      </c>
      <c r="E3" s="5">
        <v>16.2</v>
      </c>
      <c r="F3" s="5">
        <v>6207</v>
      </c>
      <c r="G3" s="6">
        <f t="shared" ref="G3:G7" si="1">F3/D3*100</f>
        <v>1.031219004866184</v>
      </c>
      <c r="H3" s="5">
        <f>D3*(E3/100)</f>
        <v>97509.258000000002</v>
      </c>
      <c r="I3" s="5">
        <f t="shared" ref="I3:I7" si="2">D3*(G3/100)</f>
        <v>6207</v>
      </c>
      <c r="J3" s="6">
        <f t="shared" ref="J3:J7" si="3">C3/H3*100</f>
        <v>0.11998860662030676</v>
      </c>
      <c r="K3" s="7">
        <f t="shared" ref="K3:K7" si="4">C3/I3*100</f>
        <v>1.8849685838569359</v>
      </c>
    </row>
    <row r="4" spans="1:14" x14ac:dyDescent="0.2">
      <c r="A4" s="15"/>
      <c r="B4" s="5" t="s">
        <v>14</v>
      </c>
      <c r="C4" s="5">
        <v>276</v>
      </c>
      <c r="D4" s="5">
        <v>160754</v>
      </c>
      <c r="E4" s="5">
        <v>16.2</v>
      </c>
      <c r="F4" s="5">
        <v>377</v>
      </c>
      <c r="G4" s="6">
        <f>F4/D4*100</f>
        <v>0.23451982532316459</v>
      </c>
      <c r="H4" s="5">
        <f t="shared" si="0"/>
        <v>26042.148000000001</v>
      </c>
      <c r="I4" s="5">
        <f t="shared" si="2"/>
        <v>377</v>
      </c>
      <c r="J4" s="6">
        <f t="shared" si="3"/>
        <v>1.059820411127377</v>
      </c>
      <c r="K4" s="7">
        <f t="shared" si="4"/>
        <v>73.209549071618042</v>
      </c>
    </row>
    <row r="5" spans="1:14" x14ac:dyDescent="0.2">
      <c r="A5" s="15" t="s">
        <v>15</v>
      </c>
      <c r="B5" s="5" t="s">
        <v>12</v>
      </c>
      <c r="C5" s="5">
        <v>5347</v>
      </c>
      <c r="D5" s="5">
        <v>1400743</v>
      </c>
      <c r="E5" s="5">
        <v>16.2</v>
      </c>
      <c r="F5" s="5">
        <v>44924</v>
      </c>
      <c r="G5" s="6">
        <f t="shared" si="1"/>
        <v>3.2071550598503791</v>
      </c>
      <c r="H5" s="5">
        <f>D5*(E5/100)</f>
        <v>226920.36600000001</v>
      </c>
      <c r="I5" s="5">
        <f>D5*(G5/100)</f>
        <v>44924</v>
      </c>
      <c r="J5" s="6">
        <f>C5/H5*100</f>
        <v>2.3563332345409664</v>
      </c>
      <c r="K5" s="19">
        <f>C5/I5*100</f>
        <v>11.90232392485086</v>
      </c>
    </row>
    <row r="6" spans="1:14" x14ac:dyDescent="0.2">
      <c r="A6" s="16"/>
      <c r="B6" s="5" t="s">
        <v>13</v>
      </c>
      <c r="C6" s="5">
        <v>2396</v>
      </c>
      <c r="D6" s="5">
        <v>810647</v>
      </c>
      <c r="E6" s="5">
        <v>16.2</v>
      </c>
      <c r="F6" s="5">
        <v>37504</v>
      </c>
      <c r="G6" s="6">
        <f t="shared" si="1"/>
        <v>4.6264280260088544</v>
      </c>
      <c r="H6" s="5">
        <f t="shared" si="0"/>
        <v>131324.81400000001</v>
      </c>
      <c r="I6" s="5">
        <f t="shared" si="2"/>
        <v>37504</v>
      </c>
      <c r="J6" s="6">
        <f>C6/H6*100</f>
        <v>1.8244838328878195</v>
      </c>
      <c r="K6" s="7">
        <f>C6/I6*100</f>
        <v>6.388651877133106</v>
      </c>
    </row>
    <row r="7" spans="1:14" x14ac:dyDescent="0.2">
      <c r="A7" s="17"/>
      <c r="B7" s="8" t="s">
        <v>14</v>
      </c>
      <c r="C7" s="8">
        <v>2951</v>
      </c>
      <c r="D7" s="8">
        <v>590096</v>
      </c>
      <c r="E7" s="8">
        <v>16.2</v>
      </c>
      <c r="F7" s="8">
        <v>7419</v>
      </c>
      <c r="G7" s="9">
        <f t="shared" si="1"/>
        <v>1.2572530571296874</v>
      </c>
      <c r="H7" s="5">
        <f t="shared" si="0"/>
        <v>95595.551999999996</v>
      </c>
      <c r="I7" s="5">
        <f t="shared" si="2"/>
        <v>7419.0000000000009</v>
      </c>
      <c r="J7" s="9">
        <f t="shared" si="3"/>
        <v>3.0869637114496711</v>
      </c>
      <c r="K7" s="10">
        <f t="shared" si="4"/>
        <v>39.776250168486314</v>
      </c>
    </row>
    <row r="8" spans="1:14" x14ac:dyDescent="0.2">
      <c r="A8" s="1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Neema Minja</dc:creator>
  <cp:lastModifiedBy>Neema Minja</cp:lastModifiedBy>
  <dcterms:created xsi:type="dcterms:W3CDTF">2026-10-02T20:30:47Z</dcterms:created>
  <dcterms:modified xsi:type="dcterms:W3CDTF">2026-10-02T20:44:20Z</dcterms:modified>
</cp:coreProperties>
</file>